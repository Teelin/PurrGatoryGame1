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calum\Documents\UniWork\PurrGatoryGame1\"/>
    </mc:Choice>
  </mc:AlternateContent>
  <xr:revisionPtr revIDLastSave="0" documentId="8_{64A3FD12-5476-411C-991E-BC2AA4602626}" xr6:coauthVersionLast="47" xr6:coauthVersionMax="47" xr10:uidLastSave="{00000000-0000-0000-0000-000000000000}"/>
  <bookViews>
    <workbookView xWindow="-120" yWindow="-120" windowWidth="29040" windowHeight="15840" xr2:uid="{A25B70C9-7B00-4DE8-8AA4-D742817AAA4A}"/>
  </bookViews>
  <sheets>
    <sheet name="gitLogs" sheetId="1" r:id="rId1"/>
  </sheets>
  <calcPr calcId="0"/>
</workbook>
</file>

<file path=xl/calcChain.xml><?xml version="1.0" encoding="utf-8"?>
<calcChain xmlns="http://schemas.openxmlformats.org/spreadsheetml/2006/main">
  <c r="A18" i="1" l="1"/>
  <c r="A126" i="1"/>
  <c r="A2" i="1"/>
  <c r="A3" i="1"/>
  <c r="A4" i="1"/>
  <c r="A6" i="1"/>
  <c r="A7" i="1"/>
  <c r="A11" i="1"/>
  <c r="A12" i="1"/>
  <c r="A13" i="1"/>
  <c r="A14" i="1"/>
  <c r="A15" i="1"/>
  <c r="A20" i="1"/>
  <c r="A21" i="1"/>
  <c r="A22" i="1"/>
  <c r="A23" i="1"/>
  <c r="A24" i="1"/>
  <c r="A127" i="1"/>
  <c r="A128" i="1"/>
</calcChain>
</file>

<file path=xl/sharedStrings.xml><?xml version="1.0" encoding="utf-8"?>
<sst xmlns="http://schemas.openxmlformats.org/spreadsheetml/2006/main" count="124" uniqueCount="122">
  <si>
    <t>2026-08-10,Add Sun Barge sprite, improve main menu UX,- Add Sun Barge spritesheet asset and update SunBarge1 prefab to use it with corrected transform/collider</t>
  </si>
  <si>
    <t>- Reduce rattle cooldown from 5s to 3.5s</t>
  </si>
  <si>
    <t>2026-08-04,Timeline and sun barge,</t>
  </si>
  <si>
    <t>2026-08-03,Fix HUD reset and health init between levels,- Initialize player lives from GameManager instead of maxLives</t>
  </si>
  <si>
    <t>2026-08-01,Add KittenManager trail system and sarcophagus trap,- Add KittenManager component to track player position history and manage ghost kittens following in a trail formation</t>
  </si>
  <si>
    <t>- Rename 'Jump' input action to 'Pounce' and implement pounce movement in PlayerController</t>
  </si>
  <si>
    <t>2026-07-28,update,</t>
  </si>
  <si>
    <t>2026-07-27,update,</t>
  </si>
  <si>
    <t>2026-07-27,Update bg,</t>
  </si>
  <si>
    <t>2026-07-27,BG,</t>
  </si>
  <si>
    <t>2026-07-23,snake Trap,</t>
  </si>
  <si>
    <t>2026-07-23,A few tweaks,Boss art added to game and some tweaks in code and some new rooms designed</t>
  </si>
  <si>
    <t>2026-07-23,cat idle update,</t>
  </si>
  <si>
    <t>2026-07-22,Red Scorpion,</t>
  </si>
  <si>
    <t>2026-07-21,ui update,</t>
  </si>
  <si>
    <t>2026-07-21,Small Update 2,Just a couple of HUD updates</t>
  </si>
  <si>
    <t>2026-07-21,Small Update,Updated rattle UI</t>
  </si>
  <si>
    <t>Updated Health and damage to now be simpler</t>
  </si>
  <si>
    <t>Boss room locked untill saves kittens</t>
  </si>
  <si>
    <t>Sacrafice a life to get a kitten soul</t>
  </si>
  <si>
    <t>2026-07-21,V2 UI,</t>
  </si>
  <si>
    <t>2026-07-21,Snake_Apep_Apophis_Spritehsheet,</t>
  </si>
  <si>
    <t>2026-07-20,Polishing,Started to add some extra polish on areas while also adding extras based of feedback.</t>
  </si>
  <si>
    <t>More audio added</t>
  </si>
  <si>
    <t>Fixed boss health bar</t>
  </si>
  <si>
    <t>UI updated and added</t>
  </si>
  <si>
    <t>Added the final scene with a coming soon</t>
  </si>
  <si>
    <t>Quit - pause added</t>
  </si>
  <si>
    <t>added extra visual feedback on rattle attack</t>
  </si>
  <si>
    <t>Loop is fully working</t>
  </si>
  <si>
    <t>TODO:</t>
  </si>
  <si>
    <t>Update instruction menu</t>
  </si>
  <si>
    <t>Look at pooling for projectiles</t>
  </si>
  <si>
    <t>Add hud element for attack/Rattle move with cooldown</t>
  </si>
  <si>
    <t>2026-07-20,ui,</t>
  </si>
  <si>
    <t>2026-07-15,Beetle,</t>
  </si>
  <si>
    <t>2026-07-13,Build0.1,MiniMap added with Fog of war effect</t>
  </si>
  <si>
    <t>Kitten sprites added with animation</t>
  </si>
  <si>
    <t>HUD and UI updated with new Pixel font</t>
  </si>
  <si>
    <t>Worked on the game flow so now you can go from level to level and can only upgrade once you've defeated apophis/died/exited the run</t>
  </si>
  <si>
    <t>Apophis still to be built</t>
  </si>
  <si>
    <t>2026-07-10,Kitten Spirit,</t>
  </si>
  <si>
    <t>2026-07-08,Updates,After chat with Matty Ive added some update,</t>
  </si>
  <si>
    <t>Lighting to doorways so you can tell where they are.</t>
  </si>
  <si>
    <t>Boss can teleport</t>
  </si>
  <si>
    <t>Added cover to boss room</t>
  </si>
  <si>
    <t>Changed Bast to be a more top down animation.</t>
  </si>
  <si>
    <t>Updated the build of the game so far</t>
  </si>
  <si>
    <t>2026-07-08,Audio added,Added the start of the audio to the game.</t>
  </si>
  <si>
    <t>Also updated the level generation to get rid of weird scaling issues.</t>
  </si>
  <si>
    <t>When dead now cant leave the map</t>
  </si>
  <si>
    <t>Updated the HUD to give more info.</t>
  </si>
  <si>
    <t>2026-07-08,Idle,</t>
  </si>
  <si>
    <t>2026-07-06,Small Projectile fix,Just an update to projectile and ghostKitten</t>
  </si>
  <si>
    <t>2026-07-06,Boss1,The first boss has been created with 3 modes of attack. Now have a full level loop</t>
  </si>
  <si>
    <t>2026-07-05,Enemy 3 + extras,Enemy 3 now in just not attacking yet.</t>
  </si>
  <si>
    <t>Bast animations now in with new added lighting and animated lights</t>
  </si>
  <si>
    <t>2026-07-05,Fixed,Something wrong with the new enemy so deleted for now</t>
  </si>
  <si>
    <t>2026-07-05,BrokenBranch,Somethings Broke</t>
  </si>
  <si>
    <t>2026-07-04,urns&amp;Walking north,</t>
  </si>
  <si>
    <t>2026-07-03,Initial Fog Added,The Initial fog has been added with some particles of dust. This still needs a bit of work. Changed camera to Cinemachine perspective to add a bit of depth with fog. Need to check Z-orders of sprites and update the rotate script which has broken due to this change.</t>
  </si>
  <si>
    <t>2026-07-03,Menus/Enemies/Kittens,A few things have now been updated.</t>
  </si>
  <si>
    <t>Kittens can now be saved at the barge</t>
  </si>
  <si>
    <t>You can now escape after the boss is defeated(Currently a tick box)</t>
  </si>
  <si>
    <t>Level end menu created giving you the current stats</t>
  </si>
  <si>
    <t>Enemy 2 created - a sarcophagus that steals Kittens</t>
  </si>
  <si>
    <t>Spawn Points created so that the Urns and Enemies can spawn in random but set places.</t>
  </si>
  <si>
    <t>Timer used now to keep track of time in levels.</t>
  </si>
  <si>
    <t>HUD added to show Kittens and Time</t>
  </si>
  <si>
    <t>- Trello also now set up to track TODOs https://trello.com/b/USlXZ3fa/purr-gatory-the-nine-lives-of-bastet</t>
  </si>
  <si>
    <t>2026-06-29,Basic Loop Created,Basic loop created, just need a boss fight added but functionality is there.</t>
  </si>
  <si>
    <t>Enemies can now attack</t>
  </si>
  <si>
    <t>Screen Showing kittens saved</t>
  </si>
  <si>
    <t>Enemies steal Kittens</t>
  </si>
  <si>
    <t>Enemies choose between player and Kittens</t>
  </si>
  <si>
    <t>More Rooms</t>
  </si>
  <si>
    <t>(Desirable)Refactor AI to use behaviour scripts</t>
  </si>
  <si>
    <t>2026-06-25,Urn Smash &amp; Cat walk cycle down,</t>
  </si>
  <si>
    <t>2026-06-24,Lights,</t>
  </si>
  <si>
    <t>2026-06-23,Small Room Update,Game now produces the correct number of rooms based on the games level. Accidently created an infinite loop, this was fixed with a bit of co-pilots help. Will keep a check during development to make sure this is a robust fix.</t>
  </si>
  <si>
    <t>2026-06-23,Walk Cycle,</t>
  </si>
  <si>
    <t>2026-06-22,LevelLoaded,Added basic main menu</t>
  </si>
  <si>
    <t>Loads level</t>
  </si>
  <si>
    <t>Can reset a level- progress a level</t>
  </si>
  <si>
    <t>2026-06-20,Quick Update of Art,Updated to use art assets created by nat for levels.</t>
  </si>
  <si>
    <t>Pillars added</t>
  </si>
  <si>
    <t>Enemies now stop following if they lose line of sight</t>
  </si>
  <si>
    <t>2026-06-20,RandomPopulation,set amount of Enemies and Urns Now spawn randomly in rooms</t>
  </si>
  <si>
    <t>Enemies detections is improved with Line of sight</t>
  </si>
  <si>
    <t>Rattle Attack now has 5 sec cooldown</t>
  </si>
  <si>
    <t>TODO: Enemy Attack Still</t>
  </si>
  <si>
    <t>2026-06-20,Tiles,</t>
  </si>
  <si>
    <t>2026-06-19,Basic Health and Enemy Added,Nine lives implemented</t>
  </si>
  <si>
    <t>Health per life set so enemies can wear you down and not one hit kill - though this could be changed</t>
  </si>
  <si>
    <t>Sacrifice button added so you sacrifice a life for benefit</t>
  </si>
  <si>
    <t>Enemy wanders around the map</t>
  </si>
  <si>
    <t>Enemy will follow player when too close</t>
  </si>
  <si>
    <t>Enemy can be stunned by the rattle</t>
  </si>
  <si>
    <t>Enemy stops following when player goes too far from enemy</t>
  </si>
  <si>
    <t>TODO: Add enemy attack</t>
  </si>
  <si>
    <t>2026-06-19,Fixed NavMesh,Fixed thge navmesh bug from last commit</t>
  </si>
  <si>
    <t>2026-06-18,Added Build,Just a build test</t>
  </si>
  <si>
    <t>Current error with navmesh on build that will need addressing</t>
  </si>
  <si>
    <t>2026-06-18,Basic Mechanics Added,Breakable Urns Added</t>
  </si>
  <si>
    <t>Spawning Ghost Kittens Added</t>
  </si>
  <si>
    <t>Kittens follow Player</t>
  </si>
  <si>
    <t>Basic room Door set up working</t>
  </si>
  <si>
    <t>Random rooms spawn from array</t>
  </si>
  <si>
    <t>Sacred Fire lights and douses</t>
  </si>
  <si>
    <t>Used temp art assets to test tilemaps</t>
  </si>
  <si>
    <t>Next TODO:</t>
  </si>
  <si>
    <t>Lives set up</t>
  </si>
  <si>
    <t>Kittens stop at active sacred fire - May try setting as key command</t>
  </si>
  <si>
    <t>Enemy 1 start</t>
  </si>
  <si>
    <t>Random Urn spawn</t>
  </si>
  <si>
    <t>2026-06-17,Little Change,trying to get a door/barrier system on the rooms to work had to reset</t>
  </si>
  <si>
    <t>2026-06-15,Refactored code to stop crashing,Game was crashing due to the while loop, seems to of fixed by changing to a while loop. Also now have the sun barge room generating consistently in the south position of the start room. Can now move on to develop the urns and have some sort of orb follow the player.</t>
  </si>
  <si>
    <t>2026-06-12,Character rotation and light,Characters rotation and light working, setting up starter room script</t>
  </si>
  <si>
    <t>2026-06-12,Camera set-up,Set-up camera room movement and started to work on character rotation and light</t>
  </si>
  <si>
    <t>2026-06-11,Base LeveGen,Created a basic level gen with character movement, will need to next look at getting camera snap between rooms set-up plus look at setting up baseRoom script</t>
  </si>
  <si>
    <t>2026-06-11,Repo Setup,Initial commit and set-up of the repository</t>
  </si>
  <si>
    <t>2026-06-11,Initial commit,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</si>
</sst>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CB3D1-A3AA-4939-83D1-3412A66CF9BE}">
  <dimension ref="A1:A181"/>
  <sheetViews>
    <sheetView tabSelected="1" topLeftCell="A17" workbookViewId="0">
      <selection activeCell="A18" sqref="A18"/>
    </sheetView>
  </sheetViews>
  <sheetFormatPr defaultRowHeight="15" x14ac:dyDescent="0.25"/>
  <cols>
    <col min="1" max="16384" width="9.140625" style="1"/>
  </cols>
  <sheetData>
    <row r="1" spans="1:1" x14ac:dyDescent="0.25">
      <c r="A1" s="1" t="s">
        <v>0</v>
      </c>
    </row>
    <row r="2" spans="1:1" x14ac:dyDescent="0.25">
      <c r="A2" s="1" t="e">
        <f>- Rework main menu: add typewriter text effect, separate start/instructions text, add Back button support</f>
        <v>#NAME?</v>
      </c>
    </row>
    <row r="3" spans="1:1" x14ac:dyDescent="0.25">
      <c r="A3" s="1" t="e">
        <f>- Fix room prefabs: swap tile indices and simplify composite collider paths across all RoomBase variants</f>
        <v>#NAME?</v>
      </c>
    </row>
    <row r="4" spans="1:1" x14ac:dyDescent="0.25">
      <c r="A4" s="1" t="e">
        <f>- Update player light color to warm amber tint</f>
        <v>#NAME?</v>
      </c>
    </row>
    <row r="5" spans="1:1" x14ac:dyDescent="0.25">
      <c r="A5" s="1" t="s">
        <v>1</v>
      </c>
    </row>
    <row r="6" spans="1:1" x14ac:dyDescent="0.25">
      <c r="A6" s="1" t="e">
        <f>- Rename release zip to PurrgatoryPrototypeV1</f>
        <v>#NAME?</v>
      </c>
    </row>
    <row r="7" spans="1:1" x14ac:dyDescent="0.25">
      <c r="A7" s="1" t="e">
        <f>- Rebuild game binaries</f>
        <v>#NAME?</v>
      </c>
    </row>
    <row r="9" spans="1:1" x14ac:dyDescent="0.25">
      <c r="A9" s="1" t="s">
        <v>2</v>
      </c>
    </row>
    <row r="10" spans="1:1" x14ac:dyDescent="0.25">
      <c r="A10" s="1" t="s">
        <v>3</v>
      </c>
    </row>
    <row r="11" spans="1:1" x14ac:dyDescent="0.25">
      <c r="A11" s="1" t="e">
        <f>- Reset HUD life sprites on level complete via OnLevelComplete event</f>
        <v>#NAME?</v>
      </c>
    </row>
    <row r="12" spans="1:1" x14ac:dyDescent="0.25">
      <c r="A12" s="1" t="e">
        <f>- Remove redundant full-lives HUD check from Update loop</f>
        <v>#NAME?</v>
      </c>
    </row>
    <row r="13" spans="1:1" x14ac:dyDescent="0.25">
      <c r="A13" s="1" t="e">
        <f>- Comment out KittenSaved calls and pounce action temporarily</f>
        <v>#NAME?</v>
      </c>
    </row>
    <row r="14" spans="1:1" x14ac:dyDescent="0.25">
      <c r="A14" s="1" t="e">
        <f>- Adjust UI element positions in TestLevel scene</f>
        <v>#NAME?</v>
      </c>
    </row>
    <row r="15" spans="1:1" x14ac:dyDescent="0.25">
      <c r="A15" s="1" t="e">
        <f>- Rename build zip to PurrgatoryV0_5 and Update build artifacts</f>
        <v>#NAME?</v>
      </c>
    </row>
    <row r="17" spans="1:1" x14ac:dyDescent="0.25">
      <c r="A17" s="1" t="s">
        <v>4</v>
      </c>
    </row>
    <row r="18" spans="1:1" x14ac:dyDescent="0.25">
      <c r="A18" s="1" t="e">
        <f>- add sarcophagus trap spritesheet with TrapBox animations and animator controller</f>
        <v>#NAME?</v>
      </c>
    </row>
    <row r="19" spans="1:1" x14ac:dyDescent="0.25">
      <c r="A19" s="1" t="s">
        <v>5</v>
      </c>
    </row>
    <row r="20" spans="1:1" x14ac:dyDescent="0.25">
      <c r="A20" s="1" t="e">
        <f>- add pounceDistance stat to GameManager</f>
        <v>#NAME?</v>
      </c>
    </row>
    <row r="21" spans="1:1" x14ac:dyDescent="0.25">
      <c r="A21" s="1" t="e">
        <f>- Update Enemy2 to trigger attack animation when capturing kittens</f>
        <v>#NAME?</v>
      </c>
    </row>
    <row r="22" spans="1:1" x14ac:dyDescent="0.25">
      <c r="A22" s="1" t="e">
        <f>- Update collider physics shapes across all room prefabs</f>
        <v>#NAME?</v>
      </c>
    </row>
    <row r="23" spans="1:1" x14ac:dyDescent="0.25">
      <c r="A23" s="1" t="e">
        <f>- Update EndLevel and MainMenu UI layout and button positioning</f>
        <v>#NAME?</v>
      </c>
    </row>
    <row r="24" spans="1:1" x14ac:dyDescent="0.25">
      <c r="A24" s="1" t="e">
        <f>- add new menu background image asset</f>
        <v>#NAME?</v>
      </c>
    </row>
    <row r="26" spans="1:1" x14ac:dyDescent="0.25">
      <c r="A26" s="1" t="s">
        <v>6</v>
      </c>
    </row>
    <row r="27" spans="1:1" x14ac:dyDescent="0.25">
      <c r="A27" s="1" t="s">
        <v>7</v>
      </c>
    </row>
    <row r="28" spans="1:1" x14ac:dyDescent="0.25">
      <c r="A28" s="1" t="s">
        <v>8</v>
      </c>
    </row>
    <row r="29" spans="1:1" x14ac:dyDescent="0.25">
      <c r="A29" s="1" t="s">
        <v>9</v>
      </c>
    </row>
    <row r="30" spans="1:1" x14ac:dyDescent="0.25">
      <c r="A30" s="1" t="s">
        <v>10</v>
      </c>
    </row>
    <row r="31" spans="1:1" x14ac:dyDescent="0.25">
      <c r="A31" s="1" t="s">
        <v>11</v>
      </c>
    </row>
    <row r="33" spans="1:1" x14ac:dyDescent="0.25">
      <c r="A33" s="1" t="s">
        <v>12</v>
      </c>
    </row>
    <row r="34" spans="1:1" x14ac:dyDescent="0.25">
      <c r="A34" s="1" t="s">
        <v>13</v>
      </c>
    </row>
    <row r="35" spans="1:1" x14ac:dyDescent="0.25">
      <c r="A35" s="1" t="s">
        <v>14</v>
      </c>
    </row>
    <row r="36" spans="1:1" x14ac:dyDescent="0.25">
      <c r="A36" s="1" t="s">
        <v>15</v>
      </c>
    </row>
    <row r="38" spans="1:1" x14ac:dyDescent="0.25">
      <c r="A38" s="1" t="s">
        <v>16</v>
      </c>
    </row>
    <row r="39" spans="1:1" x14ac:dyDescent="0.25">
      <c r="A39" s="1" t="s">
        <v>17</v>
      </c>
    </row>
    <row r="40" spans="1:1" x14ac:dyDescent="0.25">
      <c r="A40" s="1" t="s">
        <v>18</v>
      </c>
    </row>
    <row r="41" spans="1:1" x14ac:dyDescent="0.25">
      <c r="A41" s="1" t="s">
        <v>19</v>
      </c>
    </row>
    <row r="43" spans="1:1" x14ac:dyDescent="0.25">
      <c r="A43" s="1" t="s">
        <v>20</v>
      </c>
    </row>
    <row r="44" spans="1:1" x14ac:dyDescent="0.25">
      <c r="A44" s="1" t="s">
        <v>21</v>
      </c>
    </row>
    <row r="45" spans="1:1" x14ac:dyDescent="0.25">
      <c r="A45" s="1" t="s">
        <v>22</v>
      </c>
    </row>
    <row r="46" spans="1:1" x14ac:dyDescent="0.25">
      <c r="A46" s="1" t="s">
        <v>23</v>
      </c>
    </row>
    <row r="47" spans="1:1" x14ac:dyDescent="0.25">
      <c r="A47" s="1" t="s">
        <v>24</v>
      </c>
    </row>
    <row r="48" spans="1:1" x14ac:dyDescent="0.25">
      <c r="A48" s="1" t="s">
        <v>25</v>
      </c>
    </row>
    <row r="49" spans="1:1" x14ac:dyDescent="0.25">
      <c r="A49" s="1" t="s">
        <v>26</v>
      </c>
    </row>
    <row r="50" spans="1:1" x14ac:dyDescent="0.25">
      <c r="A50" s="1" t="s">
        <v>27</v>
      </c>
    </row>
    <row r="51" spans="1:1" x14ac:dyDescent="0.25">
      <c r="A51" s="1" t="s">
        <v>28</v>
      </c>
    </row>
    <row r="52" spans="1:1" x14ac:dyDescent="0.25">
      <c r="A52" s="1" t="s">
        <v>29</v>
      </c>
    </row>
    <row r="54" spans="1:1" x14ac:dyDescent="0.25">
      <c r="A54" s="1" t="s">
        <v>30</v>
      </c>
    </row>
    <row r="55" spans="1:1" x14ac:dyDescent="0.25">
      <c r="A55" s="1" t="s">
        <v>31</v>
      </c>
    </row>
    <row r="56" spans="1:1" x14ac:dyDescent="0.25">
      <c r="A56" s="1" t="s">
        <v>32</v>
      </c>
    </row>
    <row r="57" spans="1:1" x14ac:dyDescent="0.25">
      <c r="A57" s="1" t="s">
        <v>33</v>
      </c>
    </row>
    <row r="59" spans="1:1" x14ac:dyDescent="0.25">
      <c r="A59" s="1" t="s">
        <v>34</v>
      </c>
    </row>
    <row r="60" spans="1:1" x14ac:dyDescent="0.25">
      <c r="A60" s="1" t="s">
        <v>35</v>
      </c>
    </row>
    <row r="61" spans="1:1" x14ac:dyDescent="0.25">
      <c r="A61" s="1" t="s">
        <v>36</v>
      </c>
    </row>
    <row r="62" spans="1:1" x14ac:dyDescent="0.25">
      <c r="A62" s="1" t="s">
        <v>37</v>
      </c>
    </row>
    <row r="63" spans="1:1" x14ac:dyDescent="0.25">
      <c r="A63" s="1" t="s">
        <v>38</v>
      </c>
    </row>
    <row r="64" spans="1:1" x14ac:dyDescent="0.25">
      <c r="A64" s="1" t="s">
        <v>39</v>
      </c>
    </row>
    <row r="65" spans="1:1" x14ac:dyDescent="0.25">
      <c r="A65" s="1" t="s">
        <v>40</v>
      </c>
    </row>
    <row r="67" spans="1:1" x14ac:dyDescent="0.25">
      <c r="A67" s="1" t="s">
        <v>41</v>
      </c>
    </row>
    <row r="68" spans="1:1" x14ac:dyDescent="0.25">
      <c r="A68" s="1" t="s">
        <v>42</v>
      </c>
    </row>
    <row r="70" spans="1:1" x14ac:dyDescent="0.25">
      <c r="A70" s="1" t="s">
        <v>43</v>
      </c>
    </row>
    <row r="71" spans="1:1" x14ac:dyDescent="0.25">
      <c r="A71" s="1" t="s">
        <v>44</v>
      </c>
    </row>
    <row r="72" spans="1:1" x14ac:dyDescent="0.25">
      <c r="A72" s="1" t="s">
        <v>45</v>
      </c>
    </row>
    <row r="73" spans="1:1" x14ac:dyDescent="0.25">
      <c r="A73" s="1" t="s">
        <v>46</v>
      </c>
    </row>
    <row r="74" spans="1:1" x14ac:dyDescent="0.25">
      <c r="A74" s="1" t="s">
        <v>47</v>
      </c>
    </row>
    <row r="76" spans="1:1" x14ac:dyDescent="0.25">
      <c r="A76" s="1" t="s">
        <v>48</v>
      </c>
    </row>
    <row r="77" spans="1:1" x14ac:dyDescent="0.25">
      <c r="A77" s="1" t="s">
        <v>49</v>
      </c>
    </row>
    <row r="78" spans="1:1" x14ac:dyDescent="0.25">
      <c r="A78" s="1" t="s">
        <v>50</v>
      </c>
    </row>
    <row r="79" spans="1:1" x14ac:dyDescent="0.25">
      <c r="A79" s="1" t="s">
        <v>51</v>
      </c>
    </row>
    <row r="81" spans="1:1" x14ac:dyDescent="0.25">
      <c r="A81" s="1" t="s">
        <v>52</v>
      </c>
    </row>
    <row r="82" spans="1:1" x14ac:dyDescent="0.25">
      <c r="A82" s="1" t="s">
        <v>53</v>
      </c>
    </row>
    <row r="84" spans="1:1" x14ac:dyDescent="0.25">
      <c r="A84" s="1" t="s">
        <v>54</v>
      </c>
    </row>
    <row r="86" spans="1:1" x14ac:dyDescent="0.25">
      <c r="A86" s="1" t="s">
        <v>55</v>
      </c>
    </row>
    <row r="87" spans="1:1" x14ac:dyDescent="0.25">
      <c r="A87" s="1" t="s">
        <v>56</v>
      </c>
    </row>
    <row r="89" spans="1:1" x14ac:dyDescent="0.25">
      <c r="A89" s="1" t="s">
        <v>57</v>
      </c>
    </row>
    <row r="91" spans="1:1" x14ac:dyDescent="0.25">
      <c r="A91" s="1" t="s">
        <v>58</v>
      </c>
    </row>
    <row r="93" spans="1:1" x14ac:dyDescent="0.25">
      <c r="A93" s="1" t="s">
        <v>59</v>
      </c>
    </row>
    <row r="94" spans="1:1" x14ac:dyDescent="0.25">
      <c r="A94" s="1" t="s">
        <v>60</v>
      </c>
    </row>
    <row r="96" spans="1:1" x14ac:dyDescent="0.25">
      <c r="A96" s="1" t="s">
        <v>61</v>
      </c>
    </row>
    <row r="97" spans="1:1" x14ac:dyDescent="0.25">
      <c r="A97" s="1" t="s">
        <v>62</v>
      </c>
    </row>
    <row r="98" spans="1:1" x14ac:dyDescent="0.25">
      <c r="A98" s="1" t="s">
        <v>63</v>
      </c>
    </row>
    <row r="99" spans="1:1" x14ac:dyDescent="0.25">
      <c r="A99" s="1" t="s">
        <v>64</v>
      </c>
    </row>
    <row r="100" spans="1:1" x14ac:dyDescent="0.25">
      <c r="A100" s="1" t="s">
        <v>65</v>
      </c>
    </row>
    <row r="101" spans="1:1" x14ac:dyDescent="0.25">
      <c r="A101" s="1" t="s">
        <v>66</v>
      </c>
    </row>
    <row r="102" spans="1:1" x14ac:dyDescent="0.25">
      <c r="A102" s="1" t="s">
        <v>67</v>
      </c>
    </row>
    <row r="103" spans="1:1" x14ac:dyDescent="0.25">
      <c r="A103" s="1" t="s">
        <v>68</v>
      </c>
    </row>
    <row r="104" spans="1:1" x14ac:dyDescent="0.25">
      <c r="A104" s="1" t="s">
        <v>69</v>
      </c>
    </row>
    <row r="106" spans="1:1" x14ac:dyDescent="0.25">
      <c r="A106" s="1" t="s">
        <v>70</v>
      </c>
    </row>
    <row r="107" spans="1:1" x14ac:dyDescent="0.25">
      <c r="A107" s="1" t="s">
        <v>71</v>
      </c>
    </row>
    <row r="109" spans="1:1" x14ac:dyDescent="0.25">
      <c r="A109" s="1" t="s">
        <v>30</v>
      </c>
    </row>
    <row r="110" spans="1:1" x14ac:dyDescent="0.25">
      <c r="A110" s="1" t="s">
        <v>72</v>
      </c>
    </row>
    <row r="111" spans="1:1" x14ac:dyDescent="0.25">
      <c r="A111" s="1" t="s">
        <v>73</v>
      </c>
    </row>
    <row r="112" spans="1:1" x14ac:dyDescent="0.25">
      <c r="A112" s="1" t="s">
        <v>74</v>
      </c>
    </row>
    <row r="113" spans="1:1" x14ac:dyDescent="0.25">
      <c r="A113" s="1" t="s">
        <v>75</v>
      </c>
    </row>
    <row r="114" spans="1:1" x14ac:dyDescent="0.25">
      <c r="A114" s="1" t="s">
        <v>76</v>
      </c>
    </row>
    <row r="116" spans="1:1" x14ac:dyDescent="0.25">
      <c r="A116" s="1" t="s">
        <v>77</v>
      </c>
    </row>
    <row r="117" spans="1:1" x14ac:dyDescent="0.25">
      <c r="A117" s="1" t="s">
        <v>78</v>
      </c>
    </row>
    <row r="118" spans="1:1" x14ac:dyDescent="0.25">
      <c r="A118" s="1" t="s">
        <v>79</v>
      </c>
    </row>
    <row r="120" spans="1:1" x14ac:dyDescent="0.25">
      <c r="A120" s="1" t="s">
        <v>80</v>
      </c>
    </row>
    <row r="121" spans="1:1" x14ac:dyDescent="0.25">
      <c r="A121" s="1" t="s">
        <v>81</v>
      </c>
    </row>
    <row r="122" spans="1:1" x14ac:dyDescent="0.25">
      <c r="A122" s="1" t="s">
        <v>82</v>
      </c>
    </row>
    <row r="123" spans="1:1" x14ac:dyDescent="0.25">
      <c r="A123" s="1" t="s">
        <v>83</v>
      </c>
    </row>
    <row r="125" spans="1:1" x14ac:dyDescent="0.25">
      <c r="A125" s="1" t="s">
        <v>30</v>
      </c>
    </row>
    <row r="126" spans="1:1" x14ac:dyDescent="0.25">
      <c r="A126" s="1" t="e">
        <f>- on new level get the rooms to generate properly currently not enough rooms gen on higher difficulty.</f>
        <v>#NAME?</v>
      </c>
    </row>
    <row r="127" spans="1:1" x14ac:dyDescent="0.25">
      <c r="A127" s="1" t="e">
        <f>- have urn and enemy spawn based on level.</f>
        <v>#NAME?</v>
      </c>
    </row>
    <row r="128" spans="1:1" x14ac:dyDescent="0.25">
      <c r="A128" s="1" t="e">
        <f>- get timer per level set up</f>
        <v>#NAME?</v>
      </c>
    </row>
    <row r="130" spans="1:1" x14ac:dyDescent="0.25">
      <c r="A130" s="1" t="s">
        <v>84</v>
      </c>
    </row>
    <row r="131" spans="1:1" x14ac:dyDescent="0.25">
      <c r="A131" s="1" t="s">
        <v>85</v>
      </c>
    </row>
    <row r="132" spans="1:1" x14ac:dyDescent="0.25">
      <c r="A132" s="1" t="s">
        <v>86</v>
      </c>
    </row>
    <row r="134" spans="1:1" x14ac:dyDescent="0.25">
      <c r="A134" s="1" t="s">
        <v>87</v>
      </c>
    </row>
    <row r="135" spans="1:1" x14ac:dyDescent="0.25">
      <c r="A135" s="1" t="s">
        <v>88</v>
      </c>
    </row>
    <row r="136" spans="1:1" x14ac:dyDescent="0.25">
      <c r="A136" s="1" t="s">
        <v>89</v>
      </c>
    </row>
    <row r="138" spans="1:1" x14ac:dyDescent="0.25">
      <c r="A138" s="1" t="s">
        <v>90</v>
      </c>
    </row>
    <row r="140" spans="1:1" x14ac:dyDescent="0.25">
      <c r="A140" s="1" t="s">
        <v>91</v>
      </c>
    </row>
    <row r="141" spans="1:1" x14ac:dyDescent="0.25">
      <c r="A141" s="1" t="s">
        <v>92</v>
      </c>
    </row>
    <row r="142" spans="1:1" x14ac:dyDescent="0.25">
      <c r="A142" s="1" t="s">
        <v>93</v>
      </c>
    </row>
    <row r="143" spans="1:1" x14ac:dyDescent="0.25">
      <c r="A143" s="1" t="s">
        <v>94</v>
      </c>
    </row>
    <row r="144" spans="1:1" x14ac:dyDescent="0.25">
      <c r="A144" s="1" t="s">
        <v>95</v>
      </c>
    </row>
    <row r="145" spans="1:1" x14ac:dyDescent="0.25">
      <c r="A145" s="1" t="s">
        <v>96</v>
      </c>
    </row>
    <row r="146" spans="1:1" x14ac:dyDescent="0.25">
      <c r="A146" s="1" t="s">
        <v>97</v>
      </c>
    </row>
    <row r="147" spans="1:1" x14ac:dyDescent="0.25">
      <c r="A147" s="1" t="s">
        <v>98</v>
      </c>
    </row>
    <row r="149" spans="1:1" x14ac:dyDescent="0.25">
      <c r="A149" s="1" t="s">
        <v>99</v>
      </c>
    </row>
    <row r="151" spans="1:1" x14ac:dyDescent="0.25">
      <c r="A151" s="1" t="s">
        <v>100</v>
      </c>
    </row>
    <row r="153" spans="1:1" x14ac:dyDescent="0.25">
      <c r="A153" s="1" t="s">
        <v>101</v>
      </c>
    </row>
    <row r="154" spans="1:1" x14ac:dyDescent="0.25">
      <c r="A154" s="1" t="s">
        <v>102</v>
      </c>
    </row>
    <row r="156" spans="1:1" x14ac:dyDescent="0.25">
      <c r="A156" s="1" t="s">
        <v>103</v>
      </c>
    </row>
    <row r="157" spans="1:1" x14ac:dyDescent="0.25">
      <c r="A157" s="1" t="s">
        <v>104</v>
      </c>
    </row>
    <row r="158" spans="1:1" x14ac:dyDescent="0.25">
      <c r="A158" s="1" t="s">
        <v>105</v>
      </c>
    </row>
    <row r="159" spans="1:1" x14ac:dyDescent="0.25">
      <c r="A159" s="1" t="s">
        <v>106</v>
      </c>
    </row>
    <row r="160" spans="1:1" x14ac:dyDescent="0.25">
      <c r="A160" s="1" t="s">
        <v>107</v>
      </c>
    </row>
    <row r="161" spans="1:1" x14ac:dyDescent="0.25">
      <c r="A161" s="1" t="s">
        <v>108</v>
      </c>
    </row>
    <row r="162" spans="1:1" x14ac:dyDescent="0.25">
      <c r="A162" s="1" t="s">
        <v>109</v>
      </c>
    </row>
    <row r="163" spans="1:1" x14ac:dyDescent="0.25">
      <c r="A163" s="1" t="s">
        <v>110</v>
      </c>
    </row>
    <row r="164" spans="1:1" x14ac:dyDescent="0.25">
      <c r="A164" s="1" t="s">
        <v>111</v>
      </c>
    </row>
    <row r="165" spans="1:1" x14ac:dyDescent="0.25">
      <c r="A165" s="1" t="s">
        <v>112</v>
      </c>
    </row>
    <row r="166" spans="1:1" x14ac:dyDescent="0.25">
      <c r="A166" s="1" t="s">
        <v>113</v>
      </c>
    </row>
    <row r="167" spans="1:1" x14ac:dyDescent="0.25">
      <c r="A167" s="1" t="s">
        <v>114</v>
      </c>
    </row>
    <row r="169" spans="1:1" x14ac:dyDescent="0.25">
      <c r="A169" s="1" t="s">
        <v>115</v>
      </c>
    </row>
    <row r="171" spans="1:1" x14ac:dyDescent="0.25">
      <c r="A171" s="1" t="s">
        <v>116</v>
      </c>
    </row>
    <row r="173" spans="1:1" x14ac:dyDescent="0.25">
      <c r="A173" s="1" t="s">
        <v>117</v>
      </c>
    </row>
    <row r="175" spans="1:1" x14ac:dyDescent="0.25">
      <c r="A175" s="1" t="s">
        <v>118</v>
      </c>
    </row>
    <row r="177" spans="1:1" x14ac:dyDescent="0.25">
      <c r="A177" s="1" t="s">
        <v>119</v>
      </c>
    </row>
    <row r="179" spans="1:1" x14ac:dyDescent="0.25">
      <c r="A179" s="1" t="s">
        <v>120</v>
      </c>
    </row>
    <row r="181" spans="1:1" x14ac:dyDescent="0.25">
      <c r="A181" s="1"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gitLogs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Calum Teeling</cp:lastModifiedBy>
  <dcterms:created xsi:type="dcterms:W3CDTF">2026-08-10T14:13:00Z</dcterms:created>
  <dcterms:modified xsi:type="dcterms:W3CDTF">2026-08-10T14:13:00Z</dcterms:modified>
</cp:coreProperties>
</file>